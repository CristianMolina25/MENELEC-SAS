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mpartida\TESORERIA\"/>
    </mc:Choice>
  </mc:AlternateContent>
  <xr:revisionPtr revIDLastSave="0" documentId="8_{85B98ED8-853A-43B4-8F62-42DD1B56A98F}" xr6:coauthVersionLast="47" xr6:coauthVersionMax="47" xr10:uidLastSave="{00000000-0000-0000-0000-000000000000}"/>
  <bookViews>
    <workbookView xWindow="-120" yWindow="-120" windowWidth="29040" windowHeight="15840" xr2:uid="{B246EB1F-D38C-4C40-8D71-63D0676123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E5" i="1"/>
  <c r="E4" i="1"/>
  <c r="E3" i="1"/>
  <c r="E2" i="1"/>
  <c r="E11" i="1" l="1"/>
  <c r="E13" i="1" l="1"/>
  <c r="E12" i="1"/>
</calcChain>
</file>

<file path=xl/sharedStrings.xml><?xml version="1.0" encoding="utf-8"?>
<sst xmlns="http://schemas.openxmlformats.org/spreadsheetml/2006/main" count="17" uniqueCount="17">
  <si>
    <t xml:space="preserve">ITEM </t>
  </si>
  <si>
    <t>CANTIDAD</t>
  </si>
  <si>
    <t xml:space="preserve">DESCRIPCION </t>
  </si>
  <si>
    <t>VALOR UNITARIO SIN IVA</t>
  </si>
  <si>
    <t xml:space="preserve">VALOR TOTAL </t>
  </si>
  <si>
    <t xml:space="preserve">ESCABILADERO TIPO CARRO PARA HORNO ROTATORIO DE 40 LATAS </t>
  </si>
  <si>
    <t xml:space="preserve">ESTUFA INDUSTRIAL DE 3 PUESTOS </t>
  </si>
  <si>
    <t xml:space="preserve">ESTUFA INDUSTRIAL DE 4 PUESTOS </t>
  </si>
  <si>
    <t>ESTUFA INDUSTRIAL DE 3 PUESTOS ESPECIAL</t>
  </si>
  <si>
    <t xml:space="preserve">ESTUFA INDUSTRIAL DE 4 PUESTOS ESPECIAL </t>
  </si>
  <si>
    <t xml:space="preserve">CAMAPANA EXTRACTORA </t>
  </si>
  <si>
    <t xml:space="preserve">MESON DE TRABAJO PEQUEÑO  EN ACERO INOXIDABLE </t>
  </si>
  <si>
    <t xml:space="preserve">MESON DE TRABAJO MEDIANO  EN ACERO INOXIDABLE </t>
  </si>
  <si>
    <t xml:space="preserve">MESON DE TRABAJO GRANDE  EN ACERO INOXIDABLE </t>
  </si>
  <si>
    <t>BASE</t>
  </si>
  <si>
    <t>IVA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</si>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</sst>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66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 applyAlignment="1">
      <alignment wrapText="1"/>
    </xf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1276C-DC3B-49AD-8B56-3C33E140C669}">
  <dimension ref="A1:F13"/>
  <sheetViews>
    <sheetView tabSelected="1" workbookViewId="0">
      <selection sqref="A1:E13"/>
    </sheetView>
  </sheetViews>
  <sheetFormatPr baseColWidth="10" defaultRowHeight="15" x14ac:dyDescent="0.25"/>
  <cols>
    <col min="1" max="1" width="5.7109375" customWidth="1"/>
    <col min="3" max="3" width="33.28515625" style="1" customWidth="1"/>
    <col min="4" max="4" width="19" style="1" customWidth="1"/>
    <col min="5" max="5" width="22.42578125" customWidth="1"/>
    <col min="6" max="6" width="13.140625" bestFit="1" customWidth="1"/>
  </cols>
  <sheetData>
    <row r="1" spans="1:6" ht="30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6" ht="30" x14ac:dyDescent="0.25">
      <c r="A2" s="5">
        <v>1</v>
      </c>
      <c r="B2" s="5">
        <v>4</v>
      </c>
      <c r="C2" s="3" t="s">
        <v>5</v>
      </c>
      <c r="D2" s="6">
        <v>2200000</v>
      </c>
      <c r="E2" s="7">
        <f>D2*B2</f>
        <v>8800000</v>
      </c>
    </row>
    <row r="3" spans="1:6" x14ac:dyDescent="0.25">
      <c r="A3" s="5">
        <v>2</v>
      </c>
      <c r="B3" s="5">
        <v>18</v>
      </c>
      <c r="C3" s="3" t="s">
        <v>6</v>
      </c>
      <c r="D3" s="6">
        <v>1008400</v>
      </c>
      <c r="E3" s="7">
        <f t="shared" ref="E3:E10" si="0">D3*B3</f>
        <v>18151200</v>
      </c>
    </row>
    <row r="4" spans="1:6" x14ac:dyDescent="0.25">
      <c r="A4" s="5">
        <v>3</v>
      </c>
      <c r="B4" s="5">
        <v>6</v>
      </c>
      <c r="C4" s="3" t="s">
        <v>7</v>
      </c>
      <c r="D4" s="6">
        <v>756300</v>
      </c>
      <c r="E4" s="7">
        <f t="shared" si="0"/>
        <v>4537800</v>
      </c>
    </row>
    <row r="5" spans="1:6" ht="30" x14ac:dyDescent="0.25">
      <c r="A5" s="5">
        <v>4</v>
      </c>
      <c r="B5" s="5">
        <v>3</v>
      </c>
      <c r="C5" s="3" t="s">
        <v>8</v>
      </c>
      <c r="D5" s="6">
        <v>1260500</v>
      </c>
      <c r="E5" s="7">
        <f t="shared" si="0"/>
        <v>3781500</v>
      </c>
    </row>
    <row r="6" spans="1:6" ht="30" x14ac:dyDescent="0.25">
      <c r="A6" s="5">
        <v>5</v>
      </c>
      <c r="B6" s="5">
        <v>8</v>
      </c>
      <c r="C6" s="3" t="s">
        <v>9</v>
      </c>
      <c r="D6" s="6">
        <v>1680600</v>
      </c>
      <c r="E6" s="7">
        <f t="shared" si="0"/>
        <v>13444800</v>
      </c>
    </row>
    <row r="7" spans="1:6" x14ac:dyDescent="0.25">
      <c r="A7" s="5">
        <v>6</v>
      </c>
      <c r="B7" s="5">
        <v>2</v>
      </c>
      <c r="C7" s="3" t="s">
        <v>10</v>
      </c>
      <c r="D7" s="6">
        <v>3800000</v>
      </c>
      <c r="E7" s="7">
        <f t="shared" si="0"/>
        <v>7600000</v>
      </c>
    </row>
    <row r="8" spans="1:6" ht="30" x14ac:dyDescent="0.25">
      <c r="A8" s="5">
        <v>7</v>
      </c>
      <c r="B8" s="5">
        <v>4</v>
      </c>
      <c r="C8" s="3" t="s">
        <v>11</v>
      </c>
      <c r="D8" s="6">
        <v>800000</v>
      </c>
      <c r="E8" s="7">
        <f t="shared" si="0"/>
        <v>3200000</v>
      </c>
    </row>
    <row r="9" spans="1:6" ht="30" x14ac:dyDescent="0.25">
      <c r="A9" s="5">
        <v>8</v>
      </c>
      <c r="B9" s="5">
        <v>4</v>
      </c>
      <c r="C9" s="3" t="s">
        <v>12</v>
      </c>
      <c r="D9" s="6">
        <v>1100000</v>
      </c>
      <c r="E9" s="7">
        <f t="shared" si="0"/>
        <v>4400000</v>
      </c>
      <c r="F9" s="2"/>
    </row>
    <row r="10" spans="1:6" ht="30" x14ac:dyDescent="0.25">
      <c r="A10" s="5">
        <v>9</v>
      </c>
      <c r="B10" s="5">
        <v>4</v>
      </c>
      <c r="C10" s="3" t="s">
        <v>13</v>
      </c>
      <c r="D10" s="6">
        <v>1500000</v>
      </c>
      <c r="E10" s="7">
        <f t="shared" si="0"/>
        <v>6000000</v>
      </c>
    </row>
    <row r="11" spans="1:6" x14ac:dyDescent="0.25">
      <c r="A11" s="5"/>
      <c r="B11" s="5"/>
      <c r="C11" s="3"/>
      <c r="D11" s="3" t="s">
        <v>14</v>
      </c>
      <c r="E11" s="7">
        <f>SUM(E2:E10)</f>
        <v>69915300</v>
      </c>
    </row>
    <row r="12" spans="1:6" x14ac:dyDescent="0.25">
      <c r="A12" s="5"/>
      <c r="B12" s="5"/>
      <c r="C12" s="3"/>
      <c r="D12" s="3" t="s">
        <v>15</v>
      </c>
      <c r="E12" s="7">
        <f>E11*19%</f>
        <v>13283907</v>
      </c>
    </row>
    <row r="13" spans="1:6" x14ac:dyDescent="0.25">
      <c r="A13" s="5"/>
      <c r="B13" s="5"/>
      <c r="C13" s="3"/>
      <c r="D13" s="3" t="s">
        <v>16</v>
      </c>
      <c r="E13" s="7">
        <f>E11+E12</f>
        <v>83199207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Díaz</dc:creator>
  <cp:lastModifiedBy>Germán Díaz</cp:lastModifiedBy>
  <dcterms:created xsi:type="dcterms:W3CDTF">2024-08-02T17:31:06Z</dcterms:created>
  <dcterms:modified xsi:type="dcterms:W3CDTF">2024-08-02T17:54:05Z</dcterms:modified>
</cp:coreProperties>
</file>