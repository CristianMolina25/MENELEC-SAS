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ORERIA\"/>
    </mc:Choice>
  </mc:AlternateContent>
  <bookViews>
    <workbookView xWindow="0" yWindow="0" windowWidth="28800" windowHeight="12030"/>
  </bookViews>
  <sheets>
    <sheet name="ESTADO DE CUENTAS LICCONT" sheetId="1" r:id="rId1"/>
  </sheets>
  <definedNames>
    <definedName name="_xlnm.Print_Area" localSheetId="0">'ESTADO DE CUENTAS LICCONT'!$A$1:$F$36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F36" i="1"/>
  <c r="F22" i="1"/>
  <c r="F21" i="1"/>
  <c r="F20" i="1"/>
  <c r="F19" i="1"/>
  <c r="F18" i="1"/>
  <c r="F17" i="1"/>
  <c r="F16" i="1"/>
  <c r="F15" i="1"/>
  <c r="F13" i="1"/>
  <c r="F10" i="1"/>
  <c r="C13" i="1"/>
  <c r="C10" i="1"/>
  <c r="C16" i="1"/>
  <c r="C17" i="1"/>
  <c r="C15" i="1"/>
  <c r="C19" i="1"/>
  <c r="C18" i="1"/>
  <c r="C22" i="1"/>
  <c r="C21" i="1"/>
  <c r="C20" i="1"/>
  <c r="C14" i="1"/>
  <c r="C12" i="1"/>
  <c r="E11" i="1"/>
  <c r="D11" i="1"/>
  <c r="C11" i="1"/>
  <c r="C9" i="1"/>
  <c r="C8" i="1"/>
  <c r="C7" i="1"/>
  <c r="C6" i="1"/>
  <c r="C5" i="1"/>
  <c r="C4" i="1"/>
  <c r="F4" i="1" s="1"/>
  <c r="C3" i="1"/>
  <c r="D9" i="1"/>
  <c r="F11" i="1" l="1"/>
  <c r="B36" i="1"/>
  <c r="E24" i="1"/>
  <c r="D24" i="1"/>
  <c r="E15" i="1"/>
  <c r="D15" i="1"/>
  <c r="E18" i="1"/>
  <c r="D18" i="1"/>
  <c r="E22" i="1"/>
  <c r="D22" i="1"/>
  <c r="E21" i="1"/>
  <c r="D21" i="1"/>
  <c r="E20" i="1"/>
  <c r="D20" i="1"/>
  <c r="E14" i="1"/>
  <c r="D14" i="1"/>
  <c r="E12" i="1"/>
  <c r="D12" i="1"/>
  <c r="F12" i="1" s="1"/>
  <c r="E9" i="1"/>
  <c r="E8" i="1"/>
  <c r="D8" i="1"/>
  <c r="F8" i="1" s="1"/>
  <c r="E7" i="1"/>
  <c r="D7" i="1"/>
  <c r="E6" i="1"/>
  <c r="D6" i="1"/>
  <c r="E5" i="1"/>
  <c r="D5" i="1"/>
  <c r="E3" i="1"/>
  <c r="D3" i="1"/>
  <c r="F3" i="1" s="1"/>
  <c r="F5" i="1" l="1"/>
  <c r="F24" i="1"/>
  <c r="F7" i="1"/>
  <c r="F9" i="1"/>
  <c r="F25" i="1" l="1"/>
  <c r="E36" i="1" s="1"/>
</calcChain>
</file>

<file path=xl/sharedStrings.xml><?xml version="1.0" encoding="utf-8"?>
<sst xmlns="http://schemas.openxmlformats.org/spreadsheetml/2006/main" count="35" uniqueCount="35">
  <si>
    <t>ESTADO DE CUENTAS LICCONT  2023</t>
  </si>
  <si>
    <t xml:space="preserve">N° FACTURA </t>
  </si>
  <si>
    <t xml:space="preserve">VALOR ANTES DE IVA </t>
  </si>
  <si>
    <t>IVA</t>
  </si>
  <si>
    <t xml:space="preserve">RET FUENTE </t>
  </si>
  <si>
    <t>RET ICA</t>
  </si>
  <si>
    <t xml:space="preserve">VALOR TOTAL </t>
  </si>
  <si>
    <t>B-1299</t>
  </si>
  <si>
    <t>B-1307</t>
  </si>
  <si>
    <t>B-1295</t>
  </si>
  <si>
    <t>B-1338</t>
  </si>
  <si>
    <t>B-1407</t>
  </si>
  <si>
    <t>B-1408</t>
  </si>
  <si>
    <t>B-1630</t>
  </si>
  <si>
    <t>B-1631</t>
  </si>
  <si>
    <t xml:space="preserve">mauro </t>
  </si>
  <si>
    <t>B-1638</t>
  </si>
  <si>
    <t>B-1639</t>
  </si>
  <si>
    <t>B-1641</t>
  </si>
  <si>
    <t>B-1636</t>
  </si>
  <si>
    <t>B-1637</t>
  </si>
  <si>
    <t>pelotas 30</t>
  </si>
  <si>
    <t>B-1633</t>
  </si>
  <si>
    <t>B-1635</t>
  </si>
  <si>
    <t>B-1632</t>
  </si>
  <si>
    <t>B-1634</t>
  </si>
  <si>
    <t>B-1629</t>
  </si>
  <si>
    <t xml:space="preserve">VALOR TOTAL A CANCELAR </t>
  </si>
  <si>
    <t xml:space="preserve">ABONO </t>
  </si>
  <si>
    <t xml:space="preserve">VALOR </t>
  </si>
  <si>
    <t xml:space="preserve">a favor canecas </t>
  </si>
  <si>
    <t xml:space="preserve">VALOR TOTAL ABONOS </t>
  </si>
  <si>
    <t>SALDO  PENDIENTE</t>
  </si>
  <si>
    <t>$200,000 pesos en efectivo</t>
  </si>
  <si>
    <t>JUEGO FABIE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</si>
</sst>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2" xfId="0" applyBorder="1" applyAlignment="1">
      <alignment horizontal="center" vertical="center" wrapText="1"/>
    </xf>
    <xf numFmtId="42" fontId="0" fillId="0" borderId="2" xfId="1" applyFont="1" applyBorder="1" applyAlignment="1">
      <alignment horizontal="center" vertical="center" wrapText="1"/>
    </xf>
    <xf numFmtId="42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2" fontId="0" fillId="0" borderId="2" xfId="1" applyFont="1" applyBorder="1" applyAlignment="1">
      <alignment horizontal="left" vertical="center" wrapText="1"/>
    </xf>
    <xf numFmtId="42" fontId="0" fillId="0" borderId="2" xfId="1" applyFont="1" applyBorder="1"/>
    <xf numFmtId="0" fontId="0" fillId="0" borderId="0" xfId="0" applyAlignment="1">
      <alignment horizontal="center" vertical="center"/>
    </xf>
    <xf numFmtId="42" fontId="0" fillId="0" borderId="0" xfId="1" applyFont="1" applyAlignment="1">
      <alignment horizontal="center" vertical="center"/>
    </xf>
    <xf numFmtId="42" fontId="2" fillId="2" borderId="2" xfId="1" applyFont="1" applyFill="1" applyBorder="1" applyAlignment="1">
      <alignment horizontal="center" vertical="center" wrapText="1"/>
    </xf>
    <xf numFmtId="42" fontId="2" fillId="2" borderId="2" xfId="1" applyFont="1" applyFill="1" applyBorder="1" applyAlignment="1">
      <alignment horizontal="center" vertical="center"/>
    </xf>
    <xf numFmtId="42" fontId="0" fillId="0" borderId="0" xfId="1" applyFont="1"/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2" fontId="2" fillId="2" borderId="2" xfId="1" applyFont="1" applyFill="1" applyBorder="1" applyAlignment="1">
      <alignment horizontal="center" vertical="center" wrapText="1"/>
    </xf>
    <xf numFmtId="42" fontId="0" fillId="0" borderId="0" xfId="0" applyNumberFormat="1"/>
    <xf numFmtId="42" fontId="0" fillId="3" borderId="2" xfId="1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tabSelected="1" topLeftCell="A7" workbookViewId="0">
      <selection activeCell="H29" sqref="H29"/>
    </sheetView>
  </sheetViews>
  <sheetFormatPr baseColWidth="10" defaultRowHeight="15" x14ac:dyDescent="0.25"/>
  <cols>
    <col min="1" max="1" width="13.140625" customWidth="1"/>
    <col min="2" max="2" width="15.42578125" customWidth="1"/>
    <col min="3" max="3" width="14.140625" customWidth="1"/>
    <col min="4" max="4" width="14.7109375" customWidth="1"/>
    <col min="5" max="5" width="14.7109375" bestFit="1" customWidth="1"/>
    <col min="6" max="6" width="16" customWidth="1"/>
    <col min="7" max="7" width="17" customWidth="1"/>
    <col min="8" max="8" width="12" bestFit="1" customWidth="1"/>
  </cols>
  <sheetData>
    <row r="1" spans="1:8" x14ac:dyDescent="0.25">
      <c r="A1" s="15" t="s">
        <v>0</v>
      </c>
      <c r="B1" s="15"/>
      <c r="C1" s="15"/>
      <c r="D1" s="15"/>
      <c r="E1" s="15"/>
    </row>
    <row r="2" spans="1:8" ht="30" x14ac:dyDescent="0.2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2" t="s">
        <v>6</v>
      </c>
    </row>
    <row r="3" spans="1:8" x14ac:dyDescent="0.25">
      <c r="A3" s="4" t="s">
        <v>7</v>
      </c>
      <c r="B3" s="5">
        <v>4127311</v>
      </c>
      <c r="C3" s="3">
        <f>B3*19%</f>
        <v>784189.09</v>
      </c>
      <c r="D3" s="3">
        <f t="shared" ref="D3:D24" si="0">+B3*2.5/100</f>
        <v>103182.77499999999</v>
      </c>
      <c r="E3" s="3">
        <f t="shared" ref="E3:E24" si="1">+B3*11.04/1000</f>
        <v>45565.513439999995</v>
      </c>
      <c r="F3" s="6">
        <f>B3+C3-D3-E3</f>
        <v>4762751.8015599996</v>
      </c>
    </row>
    <row r="4" spans="1:8" x14ac:dyDescent="0.25">
      <c r="A4" s="4" t="s">
        <v>8</v>
      </c>
      <c r="B4" s="5">
        <v>105882</v>
      </c>
      <c r="C4" s="3">
        <f t="shared" ref="C4:C22" si="2">B4*19%</f>
        <v>20117.580000000002</v>
      </c>
      <c r="D4" s="3"/>
      <c r="E4" s="3"/>
      <c r="F4" s="6">
        <f>B4+C4-D4-E4</f>
        <v>125999.58</v>
      </c>
    </row>
    <row r="5" spans="1:8" x14ac:dyDescent="0.25">
      <c r="A5" s="4" t="s">
        <v>9</v>
      </c>
      <c r="B5" s="5">
        <v>1781513</v>
      </c>
      <c r="C5" s="3">
        <f t="shared" si="2"/>
        <v>338487.47000000003</v>
      </c>
      <c r="D5" s="3">
        <f t="shared" si="0"/>
        <v>44537.824999999997</v>
      </c>
      <c r="E5" s="3">
        <f t="shared" si="1"/>
        <v>19667.90352</v>
      </c>
      <c r="F5" s="6">
        <f>B5+C5-D5-E5</f>
        <v>2055794.7414800003</v>
      </c>
    </row>
    <row r="6" spans="1:8" x14ac:dyDescent="0.25">
      <c r="A6" s="4" t="s">
        <v>34</v>
      </c>
      <c r="B6" s="5"/>
      <c r="C6" s="3">
        <f t="shared" si="2"/>
        <v>0</v>
      </c>
      <c r="D6" s="3">
        <f t="shared" si="0"/>
        <v>0</v>
      </c>
      <c r="E6" s="3">
        <f t="shared" si="1"/>
        <v>0</v>
      </c>
      <c r="F6" s="18">
        <v>1100000</v>
      </c>
    </row>
    <row r="7" spans="1:8" x14ac:dyDescent="0.25">
      <c r="A7" s="4" t="s">
        <v>10</v>
      </c>
      <c r="B7" s="5">
        <v>1328571</v>
      </c>
      <c r="C7" s="3">
        <f t="shared" si="2"/>
        <v>252428.49</v>
      </c>
      <c r="D7" s="3">
        <f t="shared" si="0"/>
        <v>33214.275000000001</v>
      </c>
      <c r="E7" s="3">
        <f t="shared" si="1"/>
        <v>14667.423839999998</v>
      </c>
      <c r="F7" s="6">
        <f>B7+C7-D7-E7</f>
        <v>1533117.79116</v>
      </c>
    </row>
    <row r="8" spans="1:8" x14ac:dyDescent="0.25">
      <c r="A8" s="4" t="s">
        <v>11</v>
      </c>
      <c r="B8" s="5">
        <v>9780672</v>
      </c>
      <c r="C8" s="3">
        <f t="shared" si="2"/>
        <v>1858327.68</v>
      </c>
      <c r="D8" s="3">
        <f t="shared" si="0"/>
        <v>244516.8</v>
      </c>
      <c r="E8" s="3">
        <f t="shared" si="1"/>
        <v>107978.61887999999</v>
      </c>
      <c r="F8" s="6">
        <f>B8+C8-D8-E8</f>
        <v>11286504.261119999</v>
      </c>
    </row>
    <row r="9" spans="1:8" x14ac:dyDescent="0.25">
      <c r="A9" s="4" t="s">
        <v>12</v>
      </c>
      <c r="B9" s="5">
        <v>1356807</v>
      </c>
      <c r="C9" s="3">
        <f t="shared" si="2"/>
        <v>257793.33000000002</v>
      </c>
      <c r="D9" s="3">
        <f>+B9*2.5/100</f>
        <v>33920.175000000003</v>
      </c>
      <c r="E9" s="3">
        <f t="shared" si="1"/>
        <v>14979.14928</v>
      </c>
      <c r="F9" s="6">
        <f>B9+C9-D9-E9</f>
        <v>1565701.00572</v>
      </c>
      <c r="H9" s="17"/>
    </row>
    <row r="10" spans="1:8" x14ac:dyDescent="0.25">
      <c r="A10" s="4" t="s">
        <v>26</v>
      </c>
      <c r="B10" s="5">
        <v>552101</v>
      </c>
      <c r="C10" s="3">
        <f>B10*19%</f>
        <v>104899.19</v>
      </c>
      <c r="D10" s="3">
        <v>0</v>
      </c>
      <c r="E10" s="3">
        <v>0</v>
      </c>
      <c r="F10" s="6">
        <f>B10+C10-D10-E10</f>
        <v>657000.18999999994</v>
      </c>
    </row>
    <row r="11" spans="1:8" x14ac:dyDescent="0.25">
      <c r="A11" s="4" t="s">
        <v>13</v>
      </c>
      <c r="B11" s="5">
        <v>1962401</v>
      </c>
      <c r="C11" s="3">
        <f t="shared" si="2"/>
        <v>372856.19</v>
      </c>
      <c r="D11" s="3">
        <f>+B11*2.5/100</f>
        <v>49060.025000000001</v>
      </c>
      <c r="E11" s="3">
        <f>+B11*11.04/1000</f>
        <v>21664.907039999998</v>
      </c>
      <c r="F11" s="6">
        <f>B11+C11-D11-E11</f>
        <v>2264532.2579600001</v>
      </c>
    </row>
    <row r="12" spans="1:8" x14ac:dyDescent="0.25">
      <c r="A12" s="4" t="s">
        <v>14</v>
      </c>
      <c r="B12" s="5">
        <v>1592437</v>
      </c>
      <c r="C12" s="3">
        <f t="shared" si="2"/>
        <v>302563.03000000003</v>
      </c>
      <c r="D12" s="3">
        <f t="shared" si="0"/>
        <v>39810.925000000003</v>
      </c>
      <c r="E12" s="3">
        <f t="shared" si="1"/>
        <v>17580.50448</v>
      </c>
      <c r="F12" s="6">
        <f>B12+C12-D12-E12</f>
        <v>1837608.6005200001</v>
      </c>
    </row>
    <row r="13" spans="1:8" x14ac:dyDescent="0.25">
      <c r="A13" s="4" t="s">
        <v>24</v>
      </c>
      <c r="B13" s="5">
        <v>721849</v>
      </c>
      <c r="C13" s="3">
        <f>B13*19%</f>
        <v>137151.31</v>
      </c>
      <c r="D13" s="3">
        <v>0</v>
      </c>
      <c r="E13" s="3">
        <v>0</v>
      </c>
      <c r="F13" s="6">
        <f>B13+C13-D13-E13</f>
        <v>859000.31</v>
      </c>
    </row>
    <row r="14" spans="1:8" x14ac:dyDescent="0.25">
      <c r="A14" s="4" t="s">
        <v>15</v>
      </c>
      <c r="B14" s="5"/>
      <c r="C14" s="3">
        <f t="shared" si="2"/>
        <v>0</v>
      </c>
      <c r="D14" s="3">
        <f t="shared" si="0"/>
        <v>0</v>
      </c>
      <c r="E14" s="3">
        <f t="shared" si="1"/>
        <v>0</v>
      </c>
      <c r="F14" s="18">
        <v>1440000</v>
      </c>
    </row>
    <row r="15" spans="1:8" x14ac:dyDescent="0.25">
      <c r="A15" s="4" t="s">
        <v>22</v>
      </c>
      <c r="B15" s="5">
        <v>7078992</v>
      </c>
      <c r="C15" s="3">
        <f>B15*19%</f>
        <v>1345008.48</v>
      </c>
      <c r="D15" s="3">
        <f>+B15*2.5/100</f>
        <v>176974.8</v>
      </c>
      <c r="E15" s="3">
        <f>+B15*11.04/1000</f>
        <v>78152.071679999994</v>
      </c>
      <c r="F15" s="6">
        <f>B15+C15-D15-E15</f>
        <v>8168873.6083200006</v>
      </c>
    </row>
    <row r="16" spans="1:8" x14ac:dyDescent="0.25">
      <c r="A16" s="4" t="s">
        <v>25</v>
      </c>
      <c r="B16" s="5">
        <v>507563</v>
      </c>
      <c r="C16" s="3">
        <f>B16*19%</f>
        <v>96436.97</v>
      </c>
      <c r="D16" s="3">
        <v>0</v>
      </c>
      <c r="E16" s="3">
        <v>0</v>
      </c>
      <c r="F16" s="6">
        <f>B16+C16-D16-E16</f>
        <v>603999.97</v>
      </c>
    </row>
    <row r="17" spans="1:7" x14ac:dyDescent="0.25">
      <c r="A17" s="4" t="s">
        <v>23</v>
      </c>
      <c r="B17" s="5">
        <v>1098319</v>
      </c>
      <c r="C17" s="3">
        <f>B17*19%</f>
        <v>208680.61000000002</v>
      </c>
      <c r="D17" s="3">
        <v>0</v>
      </c>
      <c r="E17" s="3">
        <v>0</v>
      </c>
      <c r="F17" s="6">
        <f>B17+C17-D17-E17</f>
        <v>1306999.6100000001</v>
      </c>
    </row>
    <row r="18" spans="1:7" x14ac:dyDescent="0.25">
      <c r="A18" s="4" t="s">
        <v>19</v>
      </c>
      <c r="B18" s="5">
        <v>2899160</v>
      </c>
      <c r="C18" s="3">
        <f>B18*19%</f>
        <v>550840.4</v>
      </c>
      <c r="D18" s="3">
        <f>+B18*2.5/100</f>
        <v>72479</v>
      </c>
      <c r="E18" s="3">
        <f>+B18*11.04/1000</f>
        <v>32006.7264</v>
      </c>
      <c r="F18" s="6">
        <f>B18+C18-D18-E18</f>
        <v>3345514.6735999999</v>
      </c>
    </row>
    <row r="19" spans="1:7" x14ac:dyDescent="0.25">
      <c r="A19" s="4" t="s">
        <v>20</v>
      </c>
      <c r="B19" s="5">
        <v>88235</v>
      </c>
      <c r="C19" s="3">
        <f>B19*19%</f>
        <v>16764.650000000001</v>
      </c>
      <c r="D19" s="3">
        <v>0</v>
      </c>
      <c r="E19" s="3">
        <v>0</v>
      </c>
      <c r="F19" s="6">
        <f>B19+C19-D19-E19</f>
        <v>104999.65</v>
      </c>
      <c r="G19" t="s">
        <v>21</v>
      </c>
    </row>
    <row r="20" spans="1:7" x14ac:dyDescent="0.25">
      <c r="A20" s="4" t="s">
        <v>16</v>
      </c>
      <c r="B20" s="5">
        <v>1826050</v>
      </c>
      <c r="C20" s="3">
        <f t="shared" si="2"/>
        <v>346949.5</v>
      </c>
      <c r="D20" s="3">
        <f t="shared" si="0"/>
        <v>45651.25</v>
      </c>
      <c r="E20" s="3">
        <f t="shared" si="1"/>
        <v>20159.592000000001</v>
      </c>
      <c r="F20" s="6">
        <f>B20+C20-D20-E20</f>
        <v>2107188.6579999998</v>
      </c>
    </row>
    <row r="21" spans="1:7" x14ac:dyDescent="0.25">
      <c r="A21" s="4" t="s">
        <v>17</v>
      </c>
      <c r="B21" s="5">
        <v>1151681</v>
      </c>
      <c r="C21" s="3">
        <f t="shared" si="2"/>
        <v>218819.39</v>
      </c>
      <c r="D21" s="3">
        <f t="shared" si="0"/>
        <v>28792.025000000001</v>
      </c>
      <c r="E21" s="3">
        <f t="shared" si="1"/>
        <v>12714.558239999998</v>
      </c>
      <c r="F21" s="6">
        <f>B21+C21-D21-E21</f>
        <v>1328993.8067600003</v>
      </c>
    </row>
    <row r="22" spans="1:7" x14ac:dyDescent="0.25">
      <c r="A22" s="4" t="s">
        <v>18</v>
      </c>
      <c r="B22" s="5">
        <v>1413445</v>
      </c>
      <c r="C22" s="3">
        <f t="shared" si="2"/>
        <v>268554.55</v>
      </c>
      <c r="D22" s="3">
        <f t="shared" si="0"/>
        <v>35336.125</v>
      </c>
      <c r="E22" s="3">
        <f t="shared" si="1"/>
        <v>15604.432799999999</v>
      </c>
      <c r="F22" s="6">
        <f>B22+C22-D22-E22</f>
        <v>1631058.9922</v>
      </c>
    </row>
    <row r="23" spans="1:7" x14ac:dyDescent="0.25">
      <c r="A23" s="4"/>
      <c r="B23" s="5"/>
      <c r="C23" s="3"/>
      <c r="D23" s="3"/>
      <c r="E23" s="3"/>
      <c r="F23" s="6"/>
    </row>
    <row r="24" spans="1:7" x14ac:dyDescent="0.25">
      <c r="A24" s="4"/>
      <c r="B24" s="5"/>
      <c r="C24" s="3"/>
      <c r="D24" s="3">
        <f t="shared" si="0"/>
        <v>0</v>
      </c>
      <c r="E24" s="3">
        <f t="shared" si="1"/>
        <v>0</v>
      </c>
      <c r="F24" s="6">
        <f>B24+C24-D24-E24</f>
        <v>0</v>
      </c>
    </row>
    <row r="25" spans="1:7" ht="30" customHeight="1" x14ac:dyDescent="0.25">
      <c r="A25" s="7"/>
      <c r="B25" s="8"/>
      <c r="C25" s="16" t="s">
        <v>27</v>
      </c>
      <c r="D25" s="16"/>
      <c r="E25" s="9"/>
      <c r="F25" s="10">
        <f>SUM(F3:F24)</f>
        <v>48085639.508400001</v>
      </c>
    </row>
    <row r="26" spans="1:7" x14ac:dyDescent="0.25">
      <c r="A26" s="7"/>
      <c r="B26" s="8"/>
      <c r="C26" s="8"/>
      <c r="D26" s="8"/>
      <c r="E26" s="11"/>
    </row>
    <row r="27" spans="1:7" x14ac:dyDescent="0.25">
      <c r="A27" s="4" t="s">
        <v>28</v>
      </c>
      <c r="B27" s="3" t="s">
        <v>29</v>
      </c>
      <c r="C27" s="8"/>
      <c r="D27" s="8"/>
      <c r="E27" s="11"/>
    </row>
    <row r="28" spans="1:7" x14ac:dyDescent="0.25">
      <c r="A28" s="12">
        <v>45213</v>
      </c>
      <c r="B28" s="3">
        <v>17708374</v>
      </c>
      <c r="C28" s="8"/>
      <c r="D28" s="8"/>
      <c r="E28" s="11"/>
    </row>
    <row r="29" spans="1:7" ht="30" x14ac:dyDescent="0.25">
      <c r="A29" s="13" t="s">
        <v>30</v>
      </c>
      <c r="B29" s="3"/>
      <c r="C29" s="8"/>
      <c r="D29" s="8"/>
      <c r="E29" s="11" t="s">
        <v>33</v>
      </c>
    </row>
    <row r="30" spans="1:7" x14ac:dyDescent="0.25">
      <c r="A30" s="12">
        <v>45267</v>
      </c>
      <c r="B30" s="3">
        <v>5000000</v>
      </c>
      <c r="C30" s="8"/>
      <c r="D30" s="8"/>
      <c r="E30" s="11"/>
    </row>
    <row r="31" spans="1:7" x14ac:dyDescent="0.25">
      <c r="A31" s="12"/>
      <c r="B31" s="3"/>
      <c r="C31" s="8"/>
      <c r="D31" s="8"/>
      <c r="E31" s="11"/>
    </row>
    <row r="32" spans="1:7" x14ac:dyDescent="0.25">
      <c r="A32" s="12"/>
      <c r="B32" s="3"/>
      <c r="C32" s="8"/>
      <c r="D32" s="8"/>
      <c r="E32" s="11"/>
    </row>
    <row r="33" spans="1:7" x14ac:dyDescent="0.25">
      <c r="A33" s="12"/>
      <c r="B33" s="3"/>
      <c r="C33" s="8"/>
      <c r="D33" s="8"/>
      <c r="E33" s="11"/>
    </row>
    <row r="34" spans="1:7" x14ac:dyDescent="0.25">
      <c r="A34" s="12"/>
      <c r="B34" s="3"/>
      <c r="C34" s="8"/>
      <c r="D34" s="8"/>
      <c r="E34" s="11"/>
    </row>
    <row r="35" spans="1:7" x14ac:dyDescent="0.25">
      <c r="A35" s="12"/>
      <c r="B35" s="3"/>
      <c r="C35" s="8"/>
      <c r="D35" s="8"/>
      <c r="E35" s="11"/>
    </row>
    <row r="36" spans="1:7" ht="30" x14ac:dyDescent="0.25">
      <c r="A36" s="14" t="s">
        <v>31</v>
      </c>
      <c r="B36" s="10">
        <f>SUM(B28:B28)+B29+B30+B31+B32+B34+B35</f>
        <v>22708374</v>
      </c>
      <c r="C36" s="16" t="s">
        <v>32</v>
      </c>
      <c r="D36" s="16"/>
      <c r="E36" s="10">
        <f>F25-B36</f>
        <v>25377265.508400001</v>
      </c>
      <c r="F36" s="17">
        <f>F6+F14</f>
        <v>2540000</v>
      </c>
      <c r="G36" s="17">
        <f>E36-F36</f>
        <v>22837265.508400001</v>
      </c>
    </row>
  </sheetData>
  <mergeCells count="3">
    <mergeCell ref="A1:E1"/>
    <mergeCell ref="C25:D25"/>
    <mergeCell ref="C36:D36"/>
  </mergeCells>
  <pageMargins left="0.7" right="0.7" top="0.75" bottom="0.75" header="0.3" footer="0.3"/>
  <pageSetup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ESTADO DE CUENTAS LICCONT</vt:lpstr>
      <vt:lpstr>'ESTADO DE CUENTAS LICCONT'!Área_de_impresión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AVELLA</dc:creator>
  <cp:lastModifiedBy> usuario</cp:lastModifiedBy>
  <cp:lastPrinted>2023-12-28T17:43:13Z</cp:lastPrinted>
  <dcterms:created xsi:type="dcterms:W3CDTF">2023-12-27T22:55:56Z</dcterms:created>
  <dcterms:modified xsi:type="dcterms:W3CDTF">2023-12-29T03:10:51Z</dcterms:modified>
</cp:coreProperties>
</file>