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1"/>
  </bookViews>
  <sheets>
    <sheet name="VENTAS" sheetId="1" state="visible" r:id="rId1"/>
    <sheet name="COMPRAS P" sheetId="2" state="visible" r:id="rId2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<sst xmlns="http://schemas.openxmlformats.org/spreadsheetml/2006/main" count="11" uniqueCount="11">
  <si>
    <t xml:space="preserve">EL MAYORISTA </t>
  </si>
  <si>
    <t xml:space="preserve">CORBETA </t>
  </si>
  <si>
    <t xml:space="preserve">FACTURA </t>
  </si>
  <si>
    <t>BASE</t>
  </si>
  <si>
    <t xml:space="preserve">PRONTO PAGO </t>
  </si>
  <si>
    <t>IVA</t>
  </si>
  <si>
    <t xml:space="preserve">TOTAL </t>
  </si>
  <si>
    <t xml:space="preserve">VALOR PAGADO </t>
  </si>
  <si>
    <t xml:space="preserve">FECHA Y MEDIO </t>
  </si>
  <si>
    <t xml:space="preserve">13-06-2024 CAJA SOCIAL </t>
  </si>
  <si>
    <t>P0623225952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</si>
</sst>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">
    <numFmt numFmtId="164" formatCode="&quot;$&quot;\ #,##0.00"/>
  </numFmts>
  <fonts count="1">
    <font>
      <sz val="11.000000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0">
    <border>
      <left style="none"/>
      <right style="none"/>
      <top style="none"/>
      <bottom style="none"/>
      <diagonal style="none"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 style="none"/>
    </border>
    <border>
      <left style="thin">
        <color auto="1"/>
      </left>
      <right style="none"/>
      <top style="medium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none"/>
      <top style="thin">
        <color auto="1"/>
      </top>
      <bottom style="thin">
        <color auto="1"/>
      </bottom>
      <diagonal style="none"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 style="none"/>
    </border>
    <border>
      <left style="thin">
        <color auto="1"/>
      </left>
      <right style="none"/>
      <top style="thin">
        <color auto="1"/>
      </top>
      <bottom style="medium">
        <color auto="1"/>
      </bottom>
      <diagonal style="none"/>
    </border>
  </borders>
  <cellStyleXfs count="1">
    <xf fontId="0" fillId="0" borderId="0" numFmtId="0" applyNumberFormat="1" applyFont="1" applyFill="1" applyBorder="1"/>
  </cellStyleXfs>
  <cellXfs count="17">
    <xf fontId="0" fillId="0" borderId="0" numFmtId="0" xfId="0"/>
    <xf fontId="0" fillId="0" borderId="1" numFmtId="0" xfId="0" applyBorder="1" applyAlignment="1">
      <alignment horizontal="center"/>
    </xf>
    <xf fontId="0" fillId="0" borderId="2" numFmtId="0" xfId="0" applyBorder="1" applyAlignment="1">
      <alignment horizontal="center"/>
    </xf>
    <xf fontId="0" fillId="0" borderId="3" numFmtId="0" xfId="0" applyBorder="1" applyAlignment="1">
      <alignment horizontal="center"/>
    </xf>
    <xf fontId="0" fillId="0" borderId="4" numFmtId="0" xfId="0" applyBorder="1" applyAlignment="1">
      <alignment horizontal="center"/>
    </xf>
    <xf fontId="0" fillId="0" borderId="5" numFmtId="0" xfId="0" applyBorder="1" applyAlignment="1">
      <alignment wrapText="1"/>
    </xf>
    <xf fontId="0" fillId="0" borderId="4" numFmtId="0" xfId="0" applyBorder="1" applyAlignment="1">
      <alignment wrapText="1"/>
    </xf>
    <xf fontId="0" fillId="0" borderId="4" numFmtId="0" xfId="0" applyBorder="1" applyAlignment="1">
      <alignment horizontal="center" wrapText="1"/>
    </xf>
    <xf fontId="0" fillId="0" borderId="6" numFmtId="0" xfId="0" applyBorder="1" applyAlignment="1">
      <alignment wrapText="1"/>
    </xf>
    <xf fontId="0" fillId="0" borderId="5" numFmtId="0" xfId="0" applyBorder="1"/>
    <xf fontId="0" fillId="0" borderId="4" numFmtId="164" xfId="0" applyNumberFormat="1" applyBorder="1"/>
    <xf fontId="0" fillId="0" borderId="4" numFmtId="0" xfId="0" applyBorder="1"/>
    <xf fontId="0" fillId="0" borderId="6" numFmtId="0" xfId="0" applyBorder="1"/>
    <xf fontId="0" fillId="0" borderId="7" numFmtId="0" xfId="0" applyBorder="1"/>
    <xf fontId="0" fillId="0" borderId="8" numFmtId="0" xfId="0" applyBorder="1"/>
    <xf fontId="0" fillId="0" borderId="9" numFmtId="0" xfId="0" applyBorder="1"/>
    <xf fontId="0" fillId="0" borderId="0" numFmtId="164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Arial"/>
        <a:cs typeface="Arial"/>
      </a:majorFont>
      <a:minorFont>
        <a:latin typeface="Aptos Narrow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 bwMode="auto"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E26" activeCellId="0" sqref="E26"/>
    </sheetView>
  </sheetViews>
  <sheetFormatPr baseColWidth="10" defaultRowHeight="15"/>
  <sheetData/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G20" activeCellId="0" sqref="G20"/>
    </sheetView>
  </sheetViews>
  <sheetFormatPr baseColWidth="10" defaultRowHeight="14.25"/>
  <cols>
    <col bestFit="1" customWidth="1" min="2" max="2" width="13.140625"/>
    <col customWidth="1" min="3" max="3" width="13.140625"/>
    <col customWidth="1" min="4" max="4" width="13.7109375"/>
    <col customWidth="1" min="5" max="5" width="14.140625"/>
    <col customWidth="1" min="6" max="6" width="15.140625"/>
    <col customWidth="1" min="7" max="7" width="17.85546875"/>
    <col bestFit="1" min="8" max="8" width="11.875"/>
    <col bestFit="1" min="9" max="9" width="11.125"/>
    <col bestFit="1" min="11" max="13" width="11.125"/>
  </cols>
  <sheetData>
    <row r="1">
      <c r="A1" s="1" t="s">
        <v>0</v>
      </c>
      <c r="B1" s="2"/>
      <c r="C1" s="2"/>
      <c r="D1" s="2"/>
      <c r="E1" s="2"/>
      <c r="F1" s="2"/>
      <c r="G1" s="3"/>
      <c r="H1" s="4" t="s">
        <v>1</v>
      </c>
      <c r="I1" s="4"/>
      <c r="J1" s="4"/>
      <c r="K1" s="4"/>
      <c r="L1" s="4"/>
      <c r="M1" s="4"/>
      <c r="N1" s="4"/>
    </row>
    <row r="2" ht="28.5">
      <c r="A2" s="5" t="s">
        <v>2</v>
      </c>
      <c r="B2" s="6" t="s">
        <v>3</v>
      </c>
      <c r="C2" s="7" t="s">
        <v>4</v>
      </c>
      <c r="D2" s="6" t="s">
        <v>5</v>
      </c>
      <c r="E2" s="6" t="s">
        <v>6</v>
      </c>
      <c r="F2" s="6" t="s">
        <v>7</v>
      </c>
      <c r="G2" s="8" t="s">
        <v>8</v>
      </c>
      <c r="H2" s="6" t="s">
        <v>2</v>
      </c>
      <c r="I2" s="6" t="s">
        <v>3</v>
      </c>
      <c r="J2" s="7" t="s">
        <v>4</v>
      </c>
      <c r="K2" s="6" t="s">
        <v>5</v>
      </c>
      <c r="L2" s="6" t="s">
        <v>6</v>
      </c>
      <c r="M2" s="6" t="s">
        <v>7</v>
      </c>
      <c r="N2" s="6" t="s">
        <v>8</v>
      </c>
    </row>
    <row r="3" ht="42.75">
      <c r="A3" s="9">
        <v>322815</v>
      </c>
      <c r="B3" s="10">
        <v>2002226.3500000001</v>
      </c>
      <c r="C3" s="10">
        <f t="shared" ref="C3:C4" si="0">B3*1.15%</f>
        <v>23025.603025</v>
      </c>
      <c r="D3" s="10">
        <f t="shared" ref="D3:D4" si="1">B3*19%</f>
        <v>380423.00650000002</v>
      </c>
      <c r="E3" s="10">
        <f t="shared" ref="E3:E4" si="2">B3+D3</f>
        <v>2382649.3565000002</v>
      </c>
      <c r="F3" s="10">
        <f t="shared" ref="F3:F4" si="3">E3-C3</f>
        <v>2359623.7534750002</v>
      </c>
      <c r="G3" s="8" t="s">
        <v>9</v>
      </c>
      <c r="H3" s="11" t="s">
        <v>10</v>
      </c>
      <c r="I3" s="10">
        <v>672883.19999999995</v>
      </c>
      <c r="J3" s="10">
        <f>I3*1.5%</f>
        <v>10093.248</v>
      </c>
      <c r="K3" s="10">
        <f>I3*19%</f>
        <v>127847.80799999999</v>
      </c>
      <c r="L3" s="10">
        <f>I3+K3</f>
        <v>800731.00799999991</v>
      </c>
      <c r="M3" s="10">
        <f>L3-J3</f>
        <v>790637.75999999989</v>
      </c>
      <c r="N3" s="6" t="s">
        <v>9</v>
      </c>
    </row>
    <row r="4" ht="28.5">
      <c r="A4" s="9">
        <v>322814</v>
      </c>
      <c r="B4" s="10">
        <v>7187960</v>
      </c>
      <c r="C4" s="10">
        <f t="shared" si="0"/>
        <v>82661.539999999994</v>
      </c>
      <c r="D4" s="10">
        <f t="shared" si="1"/>
        <v>1365712.3999999999</v>
      </c>
      <c r="E4" s="10">
        <f t="shared" si="2"/>
        <v>8553672.4000000004</v>
      </c>
      <c r="F4" s="10">
        <f t="shared" si="3"/>
        <v>8471010.8600000013</v>
      </c>
      <c r="G4" s="8" t="s">
        <v>9</v>
      </c>
      <c r="H4" s="11"/>
      <c r="I4" s="10"/>
      <c r="J4" s="11"/>
      <c r="K4" s="11"/>
      <c r="L4" s="11"/>
      <c r="M4" s="11"/>
      <c r="N4" s="11"/>
    </row>
    <row r="5">
      <c r="A5" s="9"/>
      <c r="B5" s="10"/>
      <c r="C5" s="11"/>
      <c r="D5" s="11"/>
      <c r="E5" s="11"/>
      <c r="F5" s="11"/>
      <c r="G5" s="12"/>
      <c r="H5" s="11"/>
      <c r="I5" s="10"/>
      <c r="J5" s="11"/>
      <c r="K5" s="11"/>
      <c r="L5" s="11"/>
      <c r="M5" s="11"/>
      <c r="N5" s="11"/>
    </row>
    <row r="6">
      <c r="A6" s="9"/>
      <c r="B6" s="11"/>
      <c r="C6" s="11"/>
      <c r="D6" s="11"/>
      <c r="E6" s="11"/>
      <c r="F6" s="11"/>
      <c r="G6" s="12"/>
      <c r="H6" s="11"/>
      <c r="I6" s="10"/>
      <c r="J6" s="11"/>
      <c r="K6" s="11"/>
      <c r="L6" s="11"/>
      <c r="M6" s="11"/>
      <c r="N6" s="11"/>
    </row>
    <row r="7">
      <c r="A7" s="9"/>
      <c r="B7" s="11"/>
      <c r="C7" s="11"/>
      <c r="D7" s="11"/>
      <c r="E7" s="11"/>
      <c r="F7" s="11"/>
      <c r="G7" s="12"/>
      <c r="H7" s="11"/>
      <c r="I7" s="10"/>
      <c r="J7" s="11"/>
      <c r="K7" s="11"/>
      <c r="L7" s="11"/>
      <c r="M7" s="11"/>
      <c r="N7" s="11"/>
    </row>
    <row r="8">
      <c r="A8" s="9"/>
      <c r="B8" s="11"/>
      <c r="C8" s="11"/>
      <c r="D8" s="11"/>
      <c r="E8" s="11"/>
      <c r="F8" s="11"/>
      <c r="G8" s="12"/>
      <c r="H8" s="11"/>
      <c r="I8" s="10"/>
      <c r="J8" s="11"/>
      <c r="K8" s="11"/>
      <c r="L8" s="11"/>
      <c r="M8" s="11"/>
      <c r="N8" s="11"/>
    </row>
    <row r="9">
      <c r="A9" s="9"/>
      <c r="B9" s="11"/>
      <c r="C9" s="11"/>
      <c r="D9" s="11"/>
      <c r="E9" s="11"/>
      <c r="F9" s="11"/>
      <c r="G9" s="12"/>
      <c r="H9" s="11"/>
      <c r="I9" s="10"/>
      <c r="J9" s="11"/>
      <c r="K9" s="11"/>
      <c r="L9" s="11"/>
      <c r="M9" s="11"/>
      <c r="N9" s="11"/>
    </row>
    <row r="10" ht="15.75">
      <c r="A10" s="13"/>
      <c r="B10" s="14"/>
      <c r="C10" s="14"/>
      <c r="D10" s="14"/>
      <c r="E10" s="14"/>
      <c r="F10" s="14"/>
      <c r="G10" s="15"/>
      <c r="H10" s="11"/>
      <c r="I10" s="10"/>
      <c r="J10" s="11"/>
      <c r="K10" s="11"/>
      <c r="L10" s="11"/>
      <c r="M10" s="11"/>
      <c r="N10" s="11"/>
    </row>
    <row r="11">
      <c r="I11" s="16"/>
    </row>
  </sheetData>
  <mergeCells count="2">
    <mergeCell ref="A1:G1"/>
    <mergeCell ref="H1:N1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onlyoffice/9.3.1.10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Germán Díaz</dc:creator>
  <cp:lastModifiedBy>Usuario Liccont</cp:lastModifiedBy>
  <cp:revision>1</cp:revision>
  <dcterms:created xsi:type="dcterms:W3CDTF">2024-06-13T14:48:03Z</dcterms:created>
  <dcterms:modified xsi:type="dcterms:W3CDTF">2026-05-06T17:11:35Z</dcterms:modified>
</cp:coreProperties>
</file>